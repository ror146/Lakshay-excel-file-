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K11" i="1"/>
  <c r="K10" i="1"/>
  <c r="G16" i="1"/>
  <c r="G15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<sst xmlns="http://schemas.openxmlformats.org/spreadsheetml/2006/main" count="33" uniqueCount="33">
  <si>
    <t>S.NO.</t>
  </si>
  <si>
    <t>College name</t>
  </si>
  <si>
    <t xml:space="preserve"> Amity University</t>
  </si>
  <si>
    <t xml:space="preserve">IIT Roorkee </t>
  </si>
  <si>
    <t xml:space="preserve"> Bennett </t>
  </si>
  <si>
    <t>Lovely Professional university</t>
  </si>
  <si>
    <t xml:space="preserve">UPES dehradun </t>
  </si>
  <si>
    <t xml:space="preserve">Graphic Era </t>
  </si>
  <si>
    <t>Chitkara University</t>
  </si>
  <si>
    <t xml:space="preserve">Chandigarh Universiry </t>
  </si>
  <si>
    <t xml:space="preserve">Quantum University </t>
  </si>
  <si>
    <t xml:space="preserve">Program </t>
  </si>
  <si>
    <t>Coer University</t>
  </si>
  <si>
    <t xml:space="preserve">B tech </t>
  </si>
  <si>
    <t>BBA</t>
  </si>
  <si>
    <t>MBA</t>
  </si>
  <si>
    <t xml:space="preserve">M Tech </t>
  </si>
  <si>
    <t>Bsc (DS)</t>
  </si>
  <si>
    <t xml:space="preserve">BCA </t>
  </si>
  <si>
    <t xml:space="preserve">MCA </t>
  </si>
  <si>
    <t>Msc</t>
  </si>
  <si>
    <t>B Pharm</t>
  </si>
  <si>
    <t>LLB</t>
  </si>
  <si>
    <t xml:space="preserve">Semester fee </t>
  </si>
  <si>
    <t xml:space="preserve">Annual Fee </t>
  </si>
  <si>
    <t xml:space="preserve">Exam Fee </t>
  </si>
  <si>
    <t>Hostel Fee</t>
  </si>
  <si>
    <t>Total Fee</t>
  </si>
  <si>
    <t>UPPER</t>
  </si>
  <si>
    <t>LOWER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</si>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</sst>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16" sqref="K16"/>
    </sheetView>
  </sheetViews>
  <sheetFormatPr defaultRowHeight="14.4" x14ac:dyDescent="0.3"/>
  <cols>
    <col min="2" max="2" width="29.5546875" customWidth="1"/>
    <col min="3" max="3" width="11.77734375" customWidth="1"/>
    <col min="4" max="4" width="15" customWidth="1"/>
    <col min="5" max="5" width="13.88671875" customWidth="1"/>
    <col min="6" max="6" width="14.109375" customWidth="1"/>
    <col min="7" max="7" width="13.44140625" customWidth="1"/>
    <col min="8" max="8" width="13.109375" customWidth="1"/>
    <col min="10" max="10" width="13.21875" customWidth="1"/>
  </cols>
  <sheetData>
    <row r="1" spans="1:11" x14ac:dyDescent="0.3">
      <c r="A1" t="s">
        <v>0</v>
      </c>
      <c r="B1" t="s">
        <v>1</v>
      </c>
      <c r="C1" t="s">
        <v>11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11" x14ac:dyDescent="0.3">
      <c r="A2">
        <v>1</v>
      </c>
      <c r="B2" t="s">
        <v>12</v>
      </c>
      <c r="C2" t="s">
        <v>13</v>
      </c>
      <c r="D2">
        <v>86000</v>
      </c>
      <c r="E2">
        <v>172000</v>
      </c>
      <c r="F2">
        <v>24000</v>
      </c>
      <c r="G2">
        <v>120000</v>
      </c>
      <c r="H2">
        <f>SUM(D2:G2)</f>
        <v>402000</v>
      </c>
    </row>
    <row r="3" spans="1:11" x14ac:dyDescent="0.3">
      <c r="A3">
        <v>2</v>
      </c>
      <c r="B3" t="s">
        <v>2</v>
      </c>
      <c r="C3" t="s">
        <v>14</v>
      </c>
      <c r="D3">
        <v>45000</v>
      </c>
      <c r="E3">
        <v>90000</v>
      </c>
      <c r="F3">
        <v>34000</v>
      </c>
      <c r="G3">
        <v>140000</v>
      </c>
      <c r="H3">
        <f t="shared" ref="H3:H11" si="0">SUM(D3:G3)</f>
        <v>309000</v>
      </c>
    </row>
    <row r="4" spans="1:11" x14ac:dyDescent="0.3">
      <c r="A4">
        <v>3</v>
      </c>
      <c r="B4" t="s">
        <v>3</v>
      </c>
      <c r="C4" t="s">
        <v>15</v>
      </c>
      <c r="D4">
        <v>76000</v>
      </c>
      <c r="E4">
        <v>152000</v>
      </c>
      <c r="F4">
        <v>30000</v>
      </c>
      <c r="G4">
        <v>160000</v>
      </c>
      <c r="H4">
        <f t="shared" si="0"/>
        <v>418000</v>
      </c>
    </row>
    <row r="5" spans="1:11" x14ac:dyDescent="0.3">
      <c r="A5">
        <v>4</v>
      </c>
      <c r="B5" t="s">
        <v>4</v>
      </c>
      <c r="C5" t="s">
        <v>16</v>
      </c>
      <c r="D5">
        <v>80000</v>
      </c>
      <c r="E5">
        <v>160000</v>
      </c>
      <c r="F5">
        <v>33000</v>
      </c>
      <c r="G5">
        <v>180000</v>
      </c>
      <c r="H5">
        <f t="shared" si="0"/>
        <v>453000</v>
      </c>
    </row>
    <row r="6" spans="1:11" x14ac:dyDescent="0.3">
      <c r="A6">
        <v>5</v>
      </c>
      <c r="B6" t="s">
        <v>5</v>
      </c>
      <c r="C6" t="s">
        <v>17</v>
      </c>
      <c r="D6">
        <v>60000</v>
      </c>
      <c r="E6">
        <v>120000</v>
      </c>
      <c r="F6">
        <v>25000</v>
      </c>
      <c r="G6">
        <v>110000</v>
      </c>
      <c r="H6">
        <f t="shared" si="0"/>
        <v>315000</v>
      </c>
    </row>
    <row r="7" spans="1:11" x14ac:dyDescent="0.3">
      <c r="A7">
        <v>6</v>
      </c>
      <c r="B7" t="s">
        <v>6</v>
      </c>
      <c r="C7" t="s">
        <v>18</v>
      </c>
      <c r="D7">
        <v>55500</v>
      </c>
      <c r="E7">
        <v>111000</v>
      </c>
      <c r="F7">
        <v>37000</v>
      </c>
      <c r="G7">
        <v>100000</v>
      </c>
      <c r="H7">
        <f t="shared" si="0"/>
        <v>303500</v>
      </c>
    </row>
    <row r="8" spans="1:11" x14ac:dyDescent="0.3">
      <c r="A8">
        <v>7</v>
      </c>
      <c r="B8" t="s">
        <v>7</v>
      </c>
      <c r="C8" t="s">
        <v>19</v>
      </c>
      <c r="D8">
        <v>62760</v>
      </c>
      <c r="E8">
        <v>125520</v>
      </c>
      <c r="F8">
        <v>20000</v>
      </c>
      <c r="G8">
        <v>130000</v>
      </c>
      <c r="H8">
        <f t="shared" si="0"/>
        <v>338280</v>
      </c>
    </row>
    <row r="9" spans="1:11" x14ac:dyDescent="0.3">
      <c r="A9">
        <v>8</v>
      </c>
      <c r="B9" t="s">
        <v>8</v>
      </c>
      <c r="C9" t="s">
        <v>20</v>
      </c>
      <c r="D9">
        <v>65900</v>
      </c>
      <c r="E9">
        <v>131800</v>
      </c>
      <c r="F9">
        <v>35000</v>
      </c>
      <c r="G9">
        <v>125000</v>
      </c>
      <c r="H9">
        <f t="shared" si="0"/>
        <v>357700</v>
      </c>
    </row>
    <row r="10" spans="1:11" x14ac:dyDescent="0.3">
      <c r="A10">
        <v>9</v>
      </c>
      <c r="B10" t="s">
        <v>9</v>
      </c>
      <c r="C10" t="s">
        <v>21</v>
      </c>
      <c r="D10">
        <v>51000</v>
      </c>
      <c r="E10">
        <v>102000</v>
      </c>
      <c r="F10">
        <v>28000</v>
      </c>
      <c r="G10">
        <v>115000</v>
      </c>
      <c r="H10">
        <f t="shared" si="0"/>
        <v>296000</v>
      </c>
      <c r="J10" t="s">
        <v>30</v>
      </c>
      <c r="K10">
        <f>MAX(D2:H11)</f>
        <v>453000</v>
      </c>
    </row>
    <row r="11" spans="1:11" x14ac:dyDescent="0.3">
      <c r="A11">
        <v>10</v>
      </c>
      <c r="B11" t="s">
        <v>10</v>
      </c>
      <c r="C11" t="s">
        <v>22</v>
      </c>
      <c r="D11">
        <v>66030</v>
      </c>
      <c r="E11">
        <v>132060</v>
      </c>
      <c r="F11">
        <v>31000</v>
      </c>
      <c r="G11">
        <v>175000</v>
      </c>
      <c r="H11">
        <f t="shared" si="0"/>
        <v>404090</v>
      </c>
      <c r="J11" t="s">
        <v>31</v>
      </c>
      <c r="K11">
        <f>MIN(D2:H11)</f>
        <v>20000</v>
      </c>
    </row>
    <row r="15" spans="1:11" x14ac:dyDescent="0.3">
      <c r="F15" t="s">
        <v>28</v>
      </c>
      <c r="G15" t="str">
        <f>UPPER(C1)</f>
        <v xml:space="preserve">PROGRAM </v>
      </c>
      <c r="J15" t="s">
        <v>32</v>
      </c>
      <c r="K15">
        <f>AVERAGE(D2:H11)</f>
        <v>143862.79999999999</v>
      </c>
    </row>
    <row r="16" spans="1:11" x14ac:dyDescent="0.3">
      <c r="F16" t="s">
        <v>29</v>
      </c>
      <c r="G16" t="str">
        <f>LOWER(C7)</f>
        <v xml:space="preserve">bca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2025-11-25T07:11:44Z</dcterms:created>
  <dcterms:modified xsi:type="dcterms:W3CDTF">2025-11-25T07:45:54Z</dcterms:modified>
</cp:coreProperties>
</file>